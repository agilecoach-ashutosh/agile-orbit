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5E6F55-4787-4DED-AAF8-628F61DF11C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print Calculator" sheetId="1" r:id="rId1"/>
  </sheets>
  <calcPr calcId="191029"/>
</workbook>
</file>

<file path=xl/calcChain.xml><?xml version="1.0" encoding="utf-8"?>
<calcChain xmlns="http://schemas.openxmlformats.org/spreadsheetml/2006/main">
  <c r="F35" i="1" l="1"/>
  <c r="G25" i="1"/>
  <c r="F25" i="1"/>
  <c r="E25" i="1"/>
  <c r="D25" i="1"/>
  <c r="C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H15" i="1"/>
  <c r="I15" i="1" s="1"/>
  <c r="H14" i="1"/>
  <c r="I14" i="1" s="1"/>
  <c r="H13" i="1"/>
  <c r="I13" i="1" s="1"/>
  <c r="H12" i="1"/>
  <c r="I12" i="1" s="1"/>
  <c r="H11" i="1"/>
  <c r="I11" i="1" s="1"/>
  <c r="H10" i="1"/>
  <c r="B6" i="1"/>
  <c r="H25" i="1" l="1"/>
  <c r="E29" i="1" s="1"/>
  <c r="G29" i="1" s="1"/>
  <c r="F37" i="1" s="1"/>
  <c r="I25" i="1"/>
  <c r="I10" i="1"/>
  <c r="A29" i="1"/>
  <c r="I29" i="1" l="1"/>
  <c r="C29" i="1"/>
  <c r="F36" i="1" s="1"/>
  <c r="F38" i="1" l="1"/>
  <c r="H37" i="1"/>
</calcChain>
</file>

<file path=xl/sharedStrings.xml><?xml version="1.0" encoding="utf-8"?>
<sst xmlns="http://schemas.openxmlformats.org/spreadsheetml/2006/main" count="66" uniqueCount="56">
  <si>
    <t>SPRINT PREDICTABILITY CALCULATOR</t>
  </si>
  <si>
    <t>Purpose: estimate predictable sprint velocity by comparing historical velocity with current sprint team capacity after deductions.</t>
  </si>
  <si>
    <t>1. SPRINT INPUTS</t>
  </si>
  <si>
    <t>Sprint Start Date</t>
  </si>
  <si>
    <t>Sprint End Date</t>
  </si>
  <si>
    <t>Sprint Working Days</t>
  </si>
  <si>
    <t>Calculation</t>
  </si>
  <si>
    <t>Mon–Fri working days</t>
  </si>
  <si>
    <t>2. CURRENT SPRINT TEAM CAPACITY — ENTER YELLOW CELLS</t>
  </si>
  <si>
    <t>Person Name</t>
  </si>
  <si>
    <t>Location</t>
  </si>
  <si>
    <t>Allocated Days</t>
  </si>
  <si>
    <t>Public Holiday</t>
  </si>
  <si>
    <t>Planned Leave</t>
  </si>
  <si>
    <t>Out-of-Sprint Events</t>
  </si>
  <si>
    <t>Other Deductions</t>
  </si>
  <si>
    <t>Actual Working Days</t>
  </si>
  <si>
    <t>Deduction %</t>
  </si>
  <si>
    <t>Notes</t>
  </si>
  <si>
    <t>Person 1</t>
  </si>
  <si>
    <t>Pune</t>
  </si>
  <si>
    <t>Person 2</t>
  </si>
  <si>
    <t>Person 3</t>
  </si>
  <si>
    <t>Person 4</t>
  </si>
  <si>
    <t>Person 5</t>
  </si>
  <si>
    <t>Zurich</t>
  </si>
  <si>
    <t>Person 6</t>
  </si>
  <si>
    <t>TEAM TOTAL</t>
  </si>
  <si>
    <t>3. CAPACITY SUMMARY — ALLOCATED vs AVAILABLE TEAM</t>
  </si>
  <si>
    <t>Allocated Working Days</t>
  </si>
  <si>
    <t>Headcount Allocated</t>
  </si>
  <si>
    <t>Headcount Available</t>
  </si>
  <si>
    <t>Capacity Loss</t>
  </si>
  <si>
    <t>Headcount Allocated = Allocated Working Days ÷ Sprint Working Days  |  Headcount Available = Actual Working Days ÷ Sprint Working Days</t>
  </si>
  <si>
    <t>4. HISTORICAL VELOCITY INPUTS &amp; PREDICTION</t>
  </si>
  <si>
    <t>N-2 Sprint</t>
  </si>
  <si>
    <t>N-1 Sprint</t>
  </si>
  <si>
    <t>N Sprint</t>
  </si>
  <si>
    <t>Velocity Calculation</t>
  </si>
  <si>
    <t>PREDICTABLE VELOCITY</t>
  </si>
  <si>
    <t>Average Velocity</t>
  </si>
  <si>
    <t>Average Velocity × (Headcount Available ÷ Headcount Allocated)</t>
  </si>
  <si>
    <t>Capacity Factor</t>
  </si>
  <si>
    <t>Model logic: predictable velocity scales the 3-sprint average by the ratio of available team capacity to allocated team capacity.</t>
  </si>
  <si>
    <t>COLOUR LEGEND</t>
  </si>
  <si>
    <t>Yellow</t>
  </si>
  <si>
    <t>Manual input</t>
  </si>
  <si>
    <t>Green</t>
  </si>
  <si>
    <t>Calculated result</t>
  </si>
  <si>
    <t>Blue</t>
  </si>
  <si>
    <t>Section / guidance</t>
  </si>
  <si>
    <t>Gray = explanation</t>
  </si>
  <si>
    <t>Enter or update these cells</t>
  </si>
  <si>
    <t>Do not edit formulas</t>
  </si>
  <si>
    <t>Section headings</t>
  </si>
  <si>
    <t>Formula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</si>
</sst>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name val="Carlito"/>
    </font>
    <font>
      <b/>
      <sz val="20"/>
      <color rgb="FF548235"/>
      <name val="Carlito"/>
    </font>
    <font>
      <sz val="11"/>
      <color rgb="FF666666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165" fontId="0" fillId="6" borderId="0" xfId="0" applyNumberFormat="1" applyFill="1" applyAlignment="1">
      <alignment vertical="center"/>
    </xf>
    <xf numFmtId="165" fontId="0" fillId="7" borderId="0" xfId="0" applyNumberFormat="1" applyFill="1" applyAlignment="1">
      <alignment vertical="center"/>
    </xf>
    <xf numFmtId="9" fontId="0" fillId="7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4" fillId="5" borderId="0" xfId="0" applyFont="1" applyFill="1" applyAlignment="1">
      <alignment vertical="center"/>
    </xf>
    <xf numFmtId="164" fontId="0" fillId="6" borderId="0" xfId="0" applyNumberFormat="1" applyFill="1" applyAlignment="1">
      <alignment vertical="center"/>
    </xf>
    <xf numFmtId="1" fontId="4" fillId="7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65" fontId="4" fillId="5" borderId="0" xfId="0" applyNumberFormat="1" applyFont="1" applyFill="1" applyAlignment="1">
      <alignment vertical="center"/>
    </xf>
    <xf numFmtId="9" fontId="4" fillId="5" borderId="0" xfId="0" applyNumberFormat="1" applyFont="1" applyFill="1" applyAlignment="1">
      <alignment vertical="center"/>
    </xf>
    <xf numFmtId="165" fontId="6" fillId="7" borderId="0" xfId="0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2" fontId="4" fillId="7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2" fontId="7" fillId="7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22" workbookViewId="0">
      <selection activeCell="M31" sqref="M31"/>
    </sheetView>
  </sheetViews>
  <sheetFormatPr defaultRowHeight="14.25"/>
  <cols>
    <col min="1" max="1" width="18" customWidth="1"/>
    <col min="2" max="3" width="14" customWidth="1"/>
    <col min="4" max="4" width="18.75" bestFit="1" customWidth="1"/>
    <col min="5" max="5" width="19.375" bestFit="1" customWidth="1"/>
    <col min="6" max="6" width="19" customWidth="1"/>
    <col min="7" max="8" width="17" customWidth="1"/>
    <col min="9" max="9" width="13" customWidth="1"/>
    <col min="10" max="10" width="24" customWidth="1"/>
  </cols>
  <sheetData>
    <row r="1" spans="1:10" ht="27.9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5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15">
      <c r="A5" s="8" t="s">
        <v>3</v>
      </c>
      <c r="B5" s="9">
        <v>46296</v>
      </c>
      <c r="C5" s="8" t="s">
        <v>4</v>
      </c>
      <c r="D5" s="9">
        <v>46309</v>
      </c>
      <c r="E5" s="7"/>
      <c r="F5" s="7"/>
      <c r="G5" s="7"/>
      <c r="H5" s="7"/>
      <c r="I5" s="7"/>
      <c r="J5" s="7"/>
    </row>
    <row r="6" spans="1:10" ht="15">
      <c r="A6" s="8" t="s">
        <v>5</v>
      </c>
      <c r="B6" s="10">
        <f>NETWORKDAYS(B5,D5)</f>
        <v>10</v>
      </c>
      <c r="C6" s="8" t="s">
        <v>6</v>
      </c>
      <c r="D6" s="11" t="s">
        <v>7</v>
      </c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">
      <c r="A8" s="22" t="s">
        <v>8</v>
      </c>
      <c r="B8" s="22"/>
      <c r="C8" s="22"/>
      <c r="D8" s="22"/>
      <c r="E8" s="22"/>
      <c r="F8" s="22"/>
      <c r="G8" s="22"/>
      <c r="H8" s="22"/>
      <c r="I8" s="22"/>
      <c r="J8" s="22"/>
    </row>
    <row r="9" spans="1:10" ht="33.950000000000003" customHeight="1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</row>
    <row r="10" spans="1:10" ht="21.95" customHeight="1">
      <c r="A10" s="2" t="s">
        <v>19</v>
      </c>
      <c r="B10" s="2" t="s">
        <v>20</v>
      </c>
      <c r="C10" s="4">
        <v>10</v>
      </c>
      <c r="D10" s="4">
        <v>1</v>
      </c>
      <c r="E10" s="4">
        <v>0</v>
      </c>
      <c r="F10" s="4">
        <v>0</v>
      </c>
      <c r="G10" s="4">
        <v>0</v>
      </c>
      <c r="H10" s="5">
        <f t="shared" ref="H10:H24" si="0">IF(C10="","",MAX(0,C10-SUM(D10:G10)))</f>
        <v>9</v>
      </c>
      <c r="I10" s="6">
        <f t="shared" ref="I10:I24" si="1">IF(OR(C10="",C10=0),"",(C10-H10)/C10)</f>
        <v>0.1</v>
      </c>
      <c r="J10" s="2"/>
    </row>
    <row r="11" spans="1:10" ht="21.95" customHeight="1">
      <c r="A11" s="2" t="s">
        <v>21</v>
      </c>
      <c r="B11" s="2" t="s">
        <v>20</v>
      </c>
      <c r="C11" s="4">
        <v>10</v>
      </c>
      <c r="D11" s="4">
        <v>1</v>
      </c>
      <c r="E11" s="4">
        <v>0</v>
      </c>
      <c r="F11" s="4">
        <v>0</v>
      </c>
      <c r="G11" s="4">
        <v>0</v>
      </c>
      <c r="H11" s="5">
        <f t="shared" si="0"/>
        <v>9</v>
      </c>
      <c r="I11" s="6">
        <f t="shared" si="1"/>
        <v>0.1</v>
      </c>
      <c r="J11" s="2"/>
    </row>
    <row r="12" spans="1:10" ht="21.95" customHeight="1">
      <c r="A12" s="2" t="s">
        <v>22</v>
      </c>
      <c r="B12" s="2" t="s">
        <v>20</v>
      </c>
      <c r="C12" s="4">
        <v>10</v>
      </c>
      <c r="D12" s="4">
        <v>1</v>
      </c>
      <c r="E12" s="4">
        <v>0</v>
      </c>
      <c r="F12" s="4">
        <v>0</v>
      </c>
      <c r="G12" s="4">
        <v>0</v>
      </c>
      <c r="H12" s="5">
        <f t="shared" si="0"/>
        <v>9</v>
      </c>
      <c r="I12" s="6">
        <f t="shared" si="1"/>
        <v>0.1</v>
      </c>
      <c r="J12" s="2"/>
    </row>
    <row r="13" spans="1:10" ht="21.95" customHeight="1">
      <c r="A13" s="2" t="s">
        <v>23</v>
      </c>
      <c r="B13" s="2" t="s">
        <v>20</v>
      </c>
      <c r="C13" s="4">
        <v>10</v>
      </c>
      <c r="D13" s="4">
        <v>1</v>
      </c>
      <c r="E13" s="4">
        <v>0</v>
      </c>
      <c r="F13" s="4">
        <v>0</v>
      </c>
      <c r="G13" s="4">
        <v>0</v>
      </c>
      <c r="H13" s="5">
        <f t="shared" si="0"/>
        <v>9</v>
      </c>
      <c r="I13" s="6">
        <f t="shared" si="1"/>
        <v>0.1</v>
      </c>
      <c r="J13" s="2"/>
    </row>
    <row r="14" spans="1:10" ht="21.95" customHeight="1">
      <c r="A14" s="2" t="s">
        <v>24</v>
      </c>
      <c r="B14" s="2" t="s">
        <v>25</v>
      </c>
      <c r="C14" s="4">
        <v>10</v>
      </c>
      <c r="D14" s="4">
        <v>1</v>
      </c>
      <c r="E14" s="4">
        <v>0</v>
      </c>
      <c r="F14" s="4">
        <v>0</v>
      </c>
      <c r="G14" s="4">
        <v>0</v>
      </c>
      <c r="H14" s="5">
        <f t="shared" si="0"/>
        <v>9</v>
      </c>
      <c r="I14" s="6">
        <f t="shared" si="1"/>
        <v>0.1</v>
      </c>
      <c r="J14" s="2"/>
    </row>
    <row r="15" spans="1:10" ht="21.95" customHeight="1">
      <c r="A15" s="2" t="s">
        <v>26</v>
      </c>
      <c r="B15" s="2" t="s">
        <v>25</v>
      </c>
      <c r="C15" s="4">
        <v>10</v>
      </c>
      <c r="D15" s="4">
        <v>2</v>
      </c>
      <c r="E15" s="4">
        <v>0</v>
      </c>
      <c r="F15" s="4">
        <v>0</v>
      </c>
      <c r="G15" s="4">
        <v>0</v>
      </c>
      <c r="H15" s="5">
        <f t="shared" si="0"/>
        <v>8</v>
      </c>
      <c r="I15" s="6">
        <f t="shared" si="1"/>
        <v>0.2</v>
      </c>
      <c r="J15" s="2"/>
    </row>
    <row r="16" spans="1:10" ht="21.95" customHeight="1">
      <c r="A16" s="2"/>
      <c r="B16" s="2"/>
      <c r="C16" s="4"/>
      <c r="D16" s="4">
        <v>0</v>
      </c>
      <c r="E16" s="4">
        <v>0</v>
      </c>
      <c r="F16" s="4">
        <v>0</v>
      </c>
      <c r="G16" s="4">
        <v>0</v>
      </c>
      <c r="H16" s="5" t="str">
        <f t="shared" si="0"/>
        <v/>
      </c>
      <c r="I16" s="6" t="str">
        <f t="shared" si="1"/>
        <v/>
      </c>
      <c r="J16" s="2"/>
    </row>
    <row r="17" spans="1:10" ht="21.95" customHeight="1">
      <c r="A17" s="2"/>
      <c r="B17" s="2"/>
      <c r="C17" s="4"/>
      <c r="D17" s="4">
        <v>0</v>
      </c>
      <c r="E17" s="4">
        <v>0</v>
      </c>
      <c r="F17" s="4">
        <v>0</v>
      </c>
      <c r="G17" s="4">
        <v>0</v>
      </c>
      <c r="H17" s="5" t="str">
        <f t="shared" si="0"/>
        <v/>
      </c>
      <c r="I17" s="6" t="str">
        <f t="shared" si="1"/>
        <v/>
      </c>
      <c r="J17" s="2"/>
    </row>
    <row r="18" spans="1:10" ht="21.95" customHeight="1">
      <c r="A18" s="2"/>
      <c r="B18" s="2"/>
      <c r="C18" s="4"/>
      <c r="D18" s="4">
        <v>0</v>
      </c>
      <c r="E18" s="4">
        <v>0</v>
      </c>
      <c r="F18" s="4">
        <v>0</v>
      </c>
      <c r="G18" s="4">
        <v>0</v>
      </c>
      <c r="H18" s="5" t="str">
        <f t="shared" si="0"/>
        <v/>
      </c>
      <c r="I18" s="6" t="str">
        <f t="shared" si="1"/>
        <v/>
      </c>
      <c r="J18" s="2"/>
    </row>
    <row r="19" spans="1:10" ht="21.95" customHeight="1">
      <c r="A19" s="2"/>
      <c r="B19" s="2"/>
      <c r="C19" s="4"/>
      <c r="D19" s="4">
        <v>0</v>
      </c>
      <c r="E19" s="4">
        <v>0</v>
      </c>
      <c r="F19" s="4">
        <v>0</v>
      </c>
      <c r="G19" s="4">
        <v>0</v>
      </c>
      <c r="H19" s="5" t="str">
        <f t="shared" si="0"/>
        <v/>
      </c>
      <c r="I19" s="6" t="str">
        <f t="shared" si="1"/>
        <v/>
      </c>
      <c r="J19" s="2"/>
    </row>
    <row r="20" spans="1:10" ht="21.95" customHeight="1">
      <c r="A20" s="2"/>
      <c r="B20" s="2"/>
      <c r="C20" s="4"/>
      <c r="D20" s="4">
        <v>0</v>
      </c>
      <c r="E20" s="4">
        <v>0</v>
      </c>
      <c r="F20" s="4">
        <v>0</v>
      </c>
      <c r="G20" s="4">
        <v>0</v>
      </c>
      <c r="H20" s="5" t="str">
        <f t="shared" si="0"/>
        <v/>
      </c>
      <c r="I20" s="6" t="str">
        <f t="shared" si="1"/>
        <v/>
      </c>
      <c r="J20" s="2"/>
    </row>
    <row r="21" spans="1:10" ht="21.95" customHeight="1">
      <c r="A21" s="2"/>
      <c r="B21" s="2"/>
      <c r="C21" s="4"/>
      <c r="D21" s="4">
        <v>0</v>
      </c>
      <c r="E21" s="4">
        <v>0</v>
      </c>
      <c r="F21" s="4">
        <v>0</v>
      </c>
      <c r="G21" s="4">
        <v>0</v>
      </c>
      <c r="H21" s="5" t="str">
        <f t="shared" si="0"/>
        <v/>
      </c>
      <c r="I21" s="6" t="str">
        <f t="shared" si="1"/>
        <v/>
      </c>
      <c r="J21" s="2"/>
    </row>
    <row r="22" spans="1:10" ht="21.95" customHeight="1">
      <c r="A22" s="2"/>
      <c r="B22" s="2"/>
      <c r="C22" s="4"/>
      <c r="D22" s="4">
        <v>0</v>
      </c>
      <c r="E22" s="4">
        <v>0</v>
      </c>
      <c r="F22" s="4">
        <v>0</v>
      </c>
      <c r="G22" s="4">
        <v>0</v>
      </c>
      <c r="H22" s="5" t="str">
        <f t="shared" si="0"/>
        <v/>
      </c>
      <c r="I22" s="6" t="str">
        <f t="shared" si="1"/>
        <v/>
      </c>
      <c r="J22" s="2"/>
    </row>
    <row r="23" spans="1:10" ht="21.95" customHeight="1">
      <c r="A23" s="2"/>
      <c r="B23" s="2"/>
      <c r="C23" s="4"/>
      <c r="D23" s="4">
        <v>0</v>
      </c>
      <c r="E23" s="4">
        <v>0</v>
      </c>
      <c r="F23" s="4">
        <v>0</v>
      </c>
      <c r="G23" s="4">
        <v>0</v>
      </c>
      <c r="H23" s="5" t="str">
        <f t="shared" si="0"/>
        <v/>
      </c>
      <c r="I23" s="6" t="str">
        <f t="shared" si="1"/>
        <v/>
      </c>
      <c r="J23" s="2"/>
    </row>
    <row r="24" spans="1:10" ht="21.95" customHeight="1">
      <c r="A24" s="2"/>
      <c r="B24" s="2"/>
      <c r="C24" s="4"/>
      <c r="D24" s="4">
        <v>0</v>
      </c>
      <c r="E24" s="4">
        <v>0</v>
      </c>
      <c r="F24" s="4">
        <v>0</v>
      </c>
      <c r="G24" s="4">
        <v>0</v>
      </c>
      <c r="H24" s="5" t="str">
        <f t="shared" si="0"/>
        <v/>
      </c>
      <c r="I24" s="6" t="str">
        <f t="shared" si="1"/>
        <v/>
      </c>
      <c r="J24" s="2"/>
    </row>
    <row r="25" spans="1:10" ht="21.95" customHeight="1">
      <c r="A25" s="8" t="s">
        <v>27</v>
      </c>
      <c r="B25" s="8"/>
      <c r="C25" s="12">
        <f t="shared" ref="C25:H25" si="2">SUM(C10:C24)</f>
        <v>60</v>
      </c>
      <c r="D25" s="12">
        <f t="shared" si="2"/>
        <v>7</v>
      </c>
      <c r="E25" s="12">
        <f t="shared" si="2"/>
        <v>0</v>
      </c>
      <c r="F25" s="12">
        <f t="shared" si="2"/>
        <v>0</v>
      </c>
      <c r="G25" s="12">
        <f t="shared" si="2"/>
        <v>0</v>
      </c>
      <c r="H25" s="12">
        <f t="shared" si="2"/>
        <v>53</v>
      </c>
      <c r="I25" s="13">
        <f>IF(C25=0,"",(C25-H25)/C25)</f>
        <v>0.11666666666666667</v>
      </c>
      <c r="J25" s="8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15">
      <c r="A27" s="22" t="s">
        <v>28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30">
      <c r="A28" s="1" t="s">
        <v>29</v>
      </c>
      <c r="B28" s="1"/>
      <c r="C28" s="1" t="s">
        <v>30</v>
      </c>
      <c r="D28" s="1"/>
      <c r="E28" s="1" t="s">
        <v>16</v>
      </c>
      <c r="F28" s="1"/>
      <c r="G28" s="1" t="s">
        <v>31</v>
      </c>
      <c r="H28" s="1"/>
      <c r="I28" s="1" t="s">
        <v>32</v>
      </c>
      <c r="J28" s="1"/>
    </row>
    <row r="29" spans="1:10" ht="16.5">
      <c r="A29" s="14">
        <f>C25</f>
        <v>60</v>
      </c>
      <c r="C29" s="14">
        <f>IF(B6=0,"",A29/B6)</f>
        <v>6</v>
      </c>
      <c r="E29" s="14">
        <f>H25</f>
        <v>53</v>
      </c>
      <c r="G29" s="14">
        <f>IF(B6=0,"",E29/B6)</f>
        <v>5.3</v>
      </c>
      <c r="I29" s="15">
        <f>IF(A29=0,"",(A29-E29)/A29)</f>
        <v>0.11666666666666667</v>
      </c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23" t="s">
        <v>33</v>
      </c>
      <c r="B31" s="23"/>
      <c r="C31" s="23"/>
      <c r="D31" s="23"/>
      <c r="E31" s="23"/>
      <c r="F31" s="23"/>
      <c r="G31" s="23"/>
      <c r="H31" s="23"/>
      <c r="I31" s="23"/>
      <c r="J31" s="23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ht="15">
      <c r="A33" s="22" t="s">
        <v>34</v>
      </c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24" customHeight="1">
      <c r="A34" s="16" t="s">
        <v>35</v>
      </c>
      <c r="B34" s="16" t="s">
        <v>36</v>
      </c>
      <c r="C34" s="16" t="s">
        <v>37</v>
      </c>
      <c r="D34" s="7"/>
      <c r="E34" s="24" t="s">
        <v>38</v>
      </c>
      <c r="F34" s="24" t="s">
        <v>38</v>
      </c>
      <c r="G34" s="7"/>
      <c r="H34" s="25" t="s">
        <v>39</v>
      </c>
      <c r="I34" s="25" t="s">
        <v>39</v>
      </c>
      <c r="J34" s="25" t="s">
        <v>39</v>
      </c>
    </row>
    <row r="35" spans="1:10" ht="24" customHeight="1">
      <c r="A35" s="17">
        <v>45</v>
      </c>
      <c r="B35" s="17">
        <v>50</v>
      </c>
      <c r="C35" s="17">
        <v>55</v>
      </c>
      <c r="D35" s="7"/>
      <c r="E35" s="8" t="s">
        <v>40</v>
      </c>
      <c r="F35" s="18">
        <f>AVERAGE(A35:C35)</f>
        <v>50</v>
      </c>
      <c r="G35" s="7"/>
      <c r="H35" s="23" t="s">
        <v>41</v>
      </c>
      <c r="I35" s="23"/>
      <c r="J35" s="23"/>
    </row>
    <row r="36" spans="1:10" ht="24" customHeight="1">
      <c r="A36" s="7"/>
      <c r="B36" s="7"/>
      <c r="C36" s="7"/>
      <c r="D36" s="7"/>
      <c r="E36" s="8" t="s">
        <v>30</v>
      </c>
      <c r="F36" s="18">
        <f>C29</f>
        <v>6</v>
      </c>
      <c r="G36" s="7"/>
      <c r="H36" s="23"/>
      <c r="I36" s="23"/>
      <c r="J36" s="23"/>
    </row>
    <row r="37" spans="1:10" ht="24" customHeight="1">
      <c r="A37" s="7"/>
      <c r="B37" s="7"/>
      <c r="C37" s="7"/>
      <c r="D37" s="7"/>
      <c r="E37" s="8" t="s">
        <v>31</v>
      </c>
      <c r="F37" s="18">
        <f>G29</f>
        <v>5.3</v>
      </c>
      <c r="G37" s="7"/>
      <c r="H37" s="20">
        <f>IF(F36=0,"",F35*(F37/F36))</f>
        <v>44.166666666666664</v>
      </c>
      <c r="I37" s="20"/>
      <c r="J37" s="20"/>
    </row>
    <row r="38" spans="1:10" ht="24" customHeight="1">
      <c r="A38" s="7"/>
      <c r="B38" s="7"/>
      <c r="C38" s="7"/>
      <c r="D38" s="7"/>
      <c r="E38" s="8" t="s">
        <v>42</v>
      </c>
      <c r="F38" s="18">
        <f>IF(F36=0,"",F37/F36)</f>
        <v>0.8833333333333333</v>
      </c>
      <c r="G38" s="7"/>
      <c r="H38" s="20"/>
      <c r="I38" s="20"/>
      <c r="J38" s="20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21" t="s">
        <v>43</v>
      </c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">
      <c r="A42" s="22" t="s">
        <v>44</v>
      </c>
      <c r="B42" s="22"/>
      <c r="C42" s="22"/>
      <c r="D42" s="22"/>
      <c r="E42" s="22"/>
      <c r="F42" s="22"/>
      <c r="G42" s="22"/>
      <c r="H42" s="22"/>
      <c r="I42" s="22"/>
      <c r="J42" s="22"/>
    </row>
    <row r="43" spans="1:10">
      <c r="A43" s="2" t="s">
        <v>45</v>
      </c>
      <c r="B43" s="2" t="s">
        <v>46</v>
      </c>
      <c r="C43" s="7"/>
      <c r="D43" s="3" t="s">
        <v>47</v>
      </c>
      <c r="E43" s="3" t="s">
        <v>48</v>
      </c>
      <c r="F43" s="7"/>
      <c r="G43" s="19" t="s">
        <v>49</v>
      </c>
      <c r="H43" s="19" t="s">
        <v>50</v>
      </c>
      <c r="I43" s="7"/>
      <c r="J43" s="11" t="s">
        <v>51</v>
      </c>
    </row>
    <row r="44" spans="1:10">
      <c r="A44" s="2" t="s">
        <v>52</v>
      </c>
      <c r="B44" s="2"/>
      <c r="C44" s="7"/>
      <c r="D44" s="3" t="s">
        <v>53</v>
      </c>
      <c r="E44" s="3"/>
      <c r="F44" s="7"/>
      <c r="G44" s="19" t="s">
        <v>54</v>
      </c>
      <c r="H44" s="19"/>
      <c r="I44" s="7"/>
      <c r="J44" s="11" t="s">
        <v>55</v>
      </c>
    </row>
  </sheetData>
  <mergeCells count="13">
    <mergeCell ref="A1:J1"/>
    <mergeCell ref="A2:J2"/>
    <mergeCell ref="A4:J4"/>
    <mergeCell ref="A8:J8"/>
    <mergeCell ref="A27:J27"/>
    <mergeCell ref="H37:J38"/>
    <mergeCell ref="A40:J40"/>
    <mergeCell ref="A42:J42"/>
    <mergeCell ref="A31:J31"/>
    <mergeCell ref="A33:J33"/>
    <mergeCell ref="E34:F34"/>
    <mergeCell ref="H34:J34"/>
    <mergeCell ref="H35:J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Mishra</cp:lastModifiedBy>
  <dcterms:modified xsi:type="dcterms:W3CDTF">2026-09-03T06:02:16Z</dcterms:modified>
</cp:coreProperties>
</file>